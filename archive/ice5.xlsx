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xtbooks\"/>
    </mc:Choice>
  </mc:AlternateContent>
  <xr:revisionPtr revIDLastSave="0" documentId="8_{F51BE55A-5521-41DB-A0CF-B0490FE66859}" xr6:coauthVersionLast="47" xr6:coauthVersionMax="47" xr10:uidLastSave="{00000000-0000-0000-0000-000000000000}"/>
  <bookViews>
    <workbookView xWindow="-120" yWindow="-120" windowWidth="29040" windowHeight="15840" xr2:uid="{6C9CEEED-BCEB-48F5-A1F4-44828F1E5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6" i="1"/>
  <c r="I16" i="1" s="1"/>
  <c r="G15" i="1"/>
  <c r="G14" i="1"/>
  <c r="I14" i="1" s="1"/>
  <c r="G3" i="1"/>
  <c r="I3" i="1" s="1"/>
  <c r="G4" i="1"/>
  <c r="G5" i="1"/>
  <c r="I5" i="1" s="1"/>
  <c r="G6" i="1"/>
  <c r="I6" i="1" s="1"/>
  <c r="G7" i="1"/>
  <c r="I7" i="1" s="1"/>
  <c r="G8" i="1"/>
  <c r="I8" i="1" s="1"/>
  <c r="G9" i="1"/>
  <c r="G10" i="1"/>
  <c r="I10" i="1" s="1"/>
  <c r="G11" i="1"/>
  <c r="I11" i="1" s="1"/>
  <c r="G12" i="1"/>
  <c r="G13" i="1"/>
  <c r="I13" i="1" s="1"/>
  <c r="G2" i="1"/>
  <c r="I2" i="1" s="1"/>
  <c r="I12" i="1" l="1"/>
  <c r="I4" i="1"/>
  <c r="I9" i="1"/>
  <c r="I15" i="1"/>
</calcChain>
</file>

<file path=xl/sharedStrings.xml><?xml version="1.0" encoding="utf-8"?>
<sst xmlns="http://schemas.openxmlformats.org/spreadsheetml/2006/main" count="12" uniqueCount="12">
  <si>
    <t>Time</t>
  </si>
  <si>
    <t>Gas Consumption</t>
  </si>
  <si>
    <t>Electric Power Output</t>
  </si>
  <si>
    <t>Bkw</t>
  </si>
  <si>
    <t>Bsfc</t>
  </si>
  <si>
    <t>Exhaust Gas Temp.</t>
  </si>
  <si>
    <t xml:space="preserve">Cooling Water Inlet Temp. </t>
  </si>
  <si>
    <t xml:space="preserve">Cooling Water Outlet Temp. </t>
  </si>
  <si>
    <t xml:space="preserve">Voltage </t>
  </si>
  <si>
    <t>Current</t>
  </si>
  <si>
    <t>P.F</t>
  </si>
  <si>
    <t>Engine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</si>
</sst>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8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B1A3-2760-4CC1-81BD-0CE34DE0F78E}">
  <dimension ref="A1:L16"/>
  <sheetViews>
    <sheetView tabSelected="1" workbookViewId="0">
      <selection activeCell="H25" sqref="H25"/>
    </sheetView>
  </sheetViews>
  <sheetFormatPr defaultRowHeight="15" x14ac:dyDescent="0.25"/>
  <cols>
    <col min="1" max="1" width="9.140625" style="7"/>
    <col min="2" max="2" width="16.5703125" bestFit="1" customWidth="1"/>
    <col min="3" max="3" width="8.28515625" hidden="1" customWidth="1"/>
    <col min="4" max="4" width="7.7109375" hidden="1" customWidth="1"/>
    <col min="5" max="5" width="11.5703125" hidden="1" customWidth="1"/>
    <col min="6" max="6" width="5" hidden="1" customWidth="1"/>
    <col min="7" max="7" width="20.5703125" style="5" bestFit="1" customWidth="1"/>
    <col min="9" max="9" width="9.5703125" bestFit="1" customWidth="1"/>
    <col min="10" max="10" width="17.7109375" bestFit="1" customWidth="1"/>
    <col min="11" max="11" width="25" bestFit="1" customWidth="1"/>
    <col min="12" max="12" width="26.7109375" bestFit="1" customWidth="1"/>
  </cols>
  <sheetData>
    <row r="1" spans="1:12" x14ac:dyDescent="0.25">
      <c r="A1" t="s">
        <v>0</v>
      </c>
      <c r="B1" t="s">
        <v>1</v>
      </c>
      <c r="C1" t="s">
        <v>8</v>
      </c>
      <c r="D1" t="s">
        <v>9</v>
      </c>
      <c r="E1" t="s">
        <v>11</v>
      </c>
      <c r="F1" t="s">
        <v>10</v>
      </c>
      <c r="G1" s="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 s="7">
        <v>10</v>
      </c>
      <c r="B2" s="2">
        <v>526</v>
      </c>
      <c r="C2" s="3">
        <v>399</v>
      </c>
      <c r="D2" s="3">
        <v>1681</v>
      </c>
      <c r="E2" s="3">
        <v>5043</v>
      </c>
      <c r="F2" s="3">
        <v>0.95</v>
      </c>
      <c r="G2" s="4">
        <f>1.73205*C2*D2*F2/1000</f>
        <v>1103.6329017525002</v>
      </c>
      <c r="H2" s="7">
        <f>1.73205*C2*E2*F2/1000</f>
        <v>3310.8987052574998</v>
      </c>
      <c r="I2" s="8">
        <f>$B$2/H2</f>
        <v>0.15886925177286304</v>
      </c>
      <c r="J2" s="6">
        <v>574.9</v>
      </c>
      <c r="L2">
        <v>89</v>
      </c>
    </row>
    <row r="3" spans="1:12" x14ac:dyDescent="0.25">
      <c r="A3" s="7">
        <v>11</v>
      </c>
      <c r="B3" s="2"/>
      <c r="C3" s="3">
        <v>399</v>
      </c>
      <c r="D3" s="3">
        <v>1875</v>
      </c>
      <c r="E3" s="3">
        <v>5625</v>
      </c>
      <c r="F3" s="3">
        <v>0.96</v>
      </c>
      <c r="G3" s="4">
        <f>1.73205*C3*D3*F3/1000</f>
        <v>1243.9583100000002</v>
      </c>
      <c r="H3" s="7">
        <f t="shared" ref="H3:H16" si="0">1.73205*C3*E3*F3/1000</f>
        <v>3731.8749299999999</v>
      </c>
      <c r="I3" s="8">
        <f t="shared" ref="I3:I16" si="1">$B$2/H3</f>
        <v>0.14094791756592978</v>
      </c>
      <c r="J3" s="6">
        <v>573.6</v>
      </c>
      <c r="L3">
        <v>89</v>
      </c>
    </row>
    <row r="4" spans="1:12" x14ac:dyDescent="0.25">
      <c r="A4" s="7">
        <v>12</v>
      </c>
      <c r="B4" s="2"/>
      <c r="C4" s="3">
        <v>400</v>
      </c>
      <c r="D4" s="3">
        <v>1877</v>
      </c>
      <c r="E4" s="3">
        <v>5631</v>
      </c>
      <c r="F4" s="3">
        <v>0.96</v>
      </c>
      <c r="G4" s="4">
        <f>1.73205*C4*D4*F4/1000</f>
        <v>1248.4062144000002</v>
      </c>
      <c r="H4" s="7">
        <f t="shared" si="0"/>
        <v>3745.2186432000003</v>
      </c>
      <c r="I4" s="8">
        <f t="shared" si="1"/>
        <v>0.14044573898376561</v>
      </c>
      <c r="J4" s="6">
        <v>576.1</v>
      </c>
      <c r="L4">
        <v>90</v>
      </c>
    </row>
    <row r="5" spans="1:12" x14ac:dyDescent="0.25">
      <c r="A5" s="7">
        <v>13</v>
      </c>
      <c r="B5" s="2"/>
      <c r="C5" s="3">
        <v>400</v>
      </c>
      <c r="D5" s="3">
        <v>1980</v>
      </c>
      <c r="E5" s="3">
        <v>5940</v>
      </c>
      <c r="F5" s="3">
        <v>0.96</v>
      </c>
      <c r="G5" s="4">
        <f>1.73205*C5*D5*F5/1000</f>
        <v>1316.9122560000001</v>
      </c>
      <c r="H5" s="7">
        <f t="shared" si="0"/>
        <v>3950.7367680000002</v>
      </c>
      <c r="I5" s="8">
        <f t="shared" si="1"/>
        <v>0.13313972326895357</v>
      </c>
      <c r="J5" s="6">
        <v>577</v>
      </c>
      <c r="L5">
        <v>90</v>
      </c>
    </row>
    <row r="6" spans="1:12" x14ac:dyDescent="0.25">
      <c r="A6" s="7">
        <v>14</v>
      </c>
      <c r="B6" s="2"/>
      <c r="C6" s="3">
        <v>400</v>
      </c>
      <c r="D6" s="3">
        <v>1982</v>
      </c>
      <c r="E6" s="3">
        <v>5820</v>
      </c>
      <c r="F6" s="3">
        <v>0.97</v>
      </c>
      <c r="G6" s="4">
        <f>1.73205*C6*D6*F6/1000</f>
        <v>1331.9741628000002</v>
      </c>
      <c r="H6" s="7">
        <f t="shared" si="0"/>
        <v>3911.2460280000005</v>
      </c>
      <c r="I6" s="8">
        <f t="shared" si="1"/>
        <v>0.13448399723117596</v>
      </c>
      <c r="J6" s="6">
        <v>575.9</v>
      </c>
      <c r="L6">
        <v>88</v>
      </c>
    </row>
    <row r="7" spans="1:12" x14ac:dyDescent="0.25">
      <c r="A7" s="7">
        <v>15</v>
      </c>
      <c r="B7" s="2"/>
      <c r="C7" s="3">
        <v>399</v>
      </c>
      <c r="D7" s="3">
        <v>2011</v>
      </c>
      <c r="E7" s="3">
        <v>6033</v>
      </c>
      <c r="F7" s="3">
        <v>0.97</v>
      </c>
      <c r="G7" s="4">
        <f>1.73205*C7*D7*F7/1000</f>
        <v>1348.0845314265002</v>
      </c>
      <c r="H7" s="7">
        <f t="shared" si="0"/>
        <v>4044.2535942795007</v>
      </c>
      <c r="I7" s="8">
        <f t="shared" si="1"/>
        <v>0.13006108240690306</v>
      </c>
      <c r="J7" s="6">
        <v>578.79999999999995</v>
      </c>
      <c r="L7">
        <v>90</v>
      </c>
    </row>
    <row r="8" spans="1:12" x14ac:dyDescent="0.25">
      <c r="A8" s="7">
        <v>16</v>
      </c>
      <c r="B8" s="2"/>
      <c r="C8" s="3">
        <v>401</v>
      </c>
      <c r="D8" s="3">
        <v>1870</v>
      </c>
      <c r="E8" s="3">
        <v>5610</v>
      </c>
      <c r="F8" s="3">
        <v>0.97</v>
      </c>
      <c r="G8" s="4">
        <f>1.73205*C8*D8*F8/1000</f>
        <v>1259.8479634949999</v>
      </c>
      <c r="H8" s="7">
        <f t="shared" si="0"/>
        <v>3779.5438904849998</v>
      </c>
      <c r="I8" s="8">
        <f t="shared" si="1"/>
        <v>0.13917023197539916</v>
      </c>
      <c r="J8" s="6">
        <v>576.1</v>
      </c>
      <c r="L8">
        <v>89</v>
      </c>
    </row>
    <row r="9" spans="1:12" x14ac:dyDescent="0.25">
      <c r="A9" s="7">
        <v>17</v>
      </c>
      <c r="B9" s="2"/>
      <c r="C9" s="3">
        <v>400</v>
      </c>
      <c r="D9" s="3">
        <v>1822</v>
      </c>
      <c r="E9" s="3">
        <v>5466</v>
      </c>
      <c r="F9" s="3">
        <v>0.97</v>
      </c>
      <c r="G9" s="4">
        <f>1.73205*C9*D9*F9/1000</f>
        <v>1224.4484987999999</v>
      </c>
      <c r="H9" s="7">
        <f t="shared" si="0"/>
        <v>3673.3454964000002</v>
      </c>
      <c r="I9" s="8">
        <f t="shared" si="1"/>
        <v>0.14319371823736629</v>
      </c>
      <c r="J9" s="6">
        <v>576.9</v>
      </c>
      <c r="L9">
        <v>89</v>
      </c>
    </row>
    <row r="10" spans="1:12" x14ac:dyDescent="0.25">
      <c r="A10" s="7">
        <v>18</v>
      </c>
      <c r="B10" s="2"/>
      <c r="C10" s="3">
        <v>400</v>
      </c>
      <c r="D10" s="3">
        <v>1631</v>
      </c>
      <c r="E10" s="3">
        <v>4893</v>
      </c>
      <c r="F10" s="3">
        <v>0.97</v>
      </c>
      <c r="G10" s="4">
        <f>1.73205*C10*D10*F10/1000</f>
        <v>1096.0897374000001</v>
      </c>
      <c r="H10" s="7">
        <f t="shared" si="0"/>
        <v>3288.2692121999999</v>
      </c>
      <c r="I10" s="8">
        <f t="shared" si="1"/>
        <v>0.15996257181390644</v>
      </c>
      <c r="J10" s="6">
        <v>573.1</v>
      </c>
      <c r="L10">
        <v>89</v>
      </c>
    </row>
    <row r="11" spans="1:12" x14ac:dyDescent="0.25">
      <c r="A11" s="7">
        <v>19</v>
      </c>
      <c r="B11" s="2"/>
      <c r="C11" s="3">
        <v>400</v>
      </c>
      <c r="D11" s="3">
        <v>1695</v>
      </c>
      <c r="E11" s="3">
        <v>5085</v>
      </c>
      <c r="F11" s="3">
        <v>0.98</v>
      </c>
      <c r="G11" s="4">
        <f>1.73205*C11*D11*F11/1000</f>
        <v>1150.8433020000002</v>
      </c>
      <c r="H11" s="7">
        <f t="shared" si="0"/>
        <v>3452.5299059999998</v>
      </c>
      <c r="I11" s="8">
        <f t="shared" si="1"/>
        <v>0.15235204743219971</v>
      </c>
      <c r="J11" s="6">
        <v>576.6</v>
      </c>
      <c r="L11">
        <v>88</v>
      </c>
    </row>
    <row r="12" spans="1:12" x14ac:dyDescent="0.25">
      <c r="A12" s="7">
        <v>20</v>
      </c>
      <c r="B12" s="2"/>
      <c r="C12" s="3">
        <v>400</v>
      </c>
      <c r="D12" s="3">
        <v>1560</v>
      </c>
      <c r="E12" s="3">
        <v>4680</v>
      </c>
      <c r="F12" s="3">
        <v>0.98</v>
      </c>
      <c r="G12" s="4">
        <f>1.73205*C12*D12*F12/1000</f>
        <v>1059.1832160000004</v>
      </c>
      <c r="H12" s="7">
        <f t="shared" si="0"/>
        <v>3177.5496480000002</v>
      </c>
      <c r="I12" s="8">
        <f t="shared" si="1"/>
        <v>0.16553635922921697</v>
      </c>
      <c r="J12" s="6">
        <v>573.5</v>
      </c>
      <c r="L12">
        <v>89</v>
      </c>
    </row>
    <row r="13" spans="1:12" x14ac:dyDescent="0.25">
      <c r="A13" s="7">
        <v>21</v>
      </c>
      <c r="B13" s="2"/>
      <c r="C13" s="3">
        <v>400</v>
      </c>
      <c r="D13" s="3">
        <v>1591</v>
      </c>
      <c r="E13" s="3">
        <v>4773</v>
      </c>
      <c r="F13" s="3">
        <v>0.98</v>
      </c>
      <c r="G13" s="4">
        <f>1.73205*C13*D13*F13/1000</f>
        <v>1080.2310876000001</v>
      </c>
      <c r="H13" s="7">
        <f t="shared" si="0"/>
        <v>3240.6932628</v>
      </c>
      <c r="I13" s="8">
        <f t="shared" si="1"/>
        <v>0.16231094933851573</v>
      </c>
      <c r="J13" s="6">
        <v>573.1</v>
      </c>
      <c r="L13">
        <v>88</v>
      </c>
    </row>
    <row r="14" spans="1:12" x14ac:dyDescent="0.25">
      <c r="A14" s="7">
        <v>22</v>
      </c>
      <c r="B14" s="2"/>
      <c r="C14" s="3">
        <v>400</v>
      </c>
      <c r="D14" s="3">
        <v>1337</v>
      </c>
      <c r="E14" s="3">
        <v>3997</v>
      </c>
      <c r="F14" s="3">
        <v>0.98</v>
      </c>
      <c r="G14" s="5">
        <f>1.73205*C14*D14*F14/1000</f>
        <v>907.77433320000011</v>
      </c>
      <c r="H14" s="7">
        <f t="shared" si="0"/>
        <v>2713.8175092000001</v>
      </c>
      <c r="I14" s="8">
        <f t="shared" si="1"/>
        <v>0.19382290747879297</v>
      </c>
      <c r="J14" s="6">
        <v>567.6</v>
      </c>
      <c r="L14">
        <v>88</v>
      </c>
    </row>
    <row r="15" spans="1:12" x14ac:dyDescent="0.25">
      <c r="A15" s="7">
        <v>23</v>
      </c>
      <c r="B15" s="2"/>
      <c r="C15" s="3">
        <v>400</v>
      </c>
      <c r="D15" s="3">
        <v>1330</v>
      </c>
      <c r="E15" s="3">
        <v>4005</v>
      </c>
      <c r="F15" s="3">
        <v>0.98</v>
      </c>
      <c r="G15" s="5">
        <f>1.73205*C15*D15*F15/1000</f>
        <v>903.02158800000007</v>
      </c>
      <c r="H15" s="7">
        <f t="shared" si="0"/>
        <v>2719.2492179999999</v>
      </c>
      <c r="I15" s="8">
        <f t="shared" si="1"/>
        <v>0.19343574561616367</v>
      </c>
      <c r="J15" s="6">
        <v>568</v>
      </c>
      <c r="L15">
        <v>88</v>
      </c>
    </row>
    <row r="16" spans="1:12" x14ac:dyDescent="0.25">
      <c r="A16" s="7">
        <v>24</v>
      </c>
      <c r="B16" s="2"/>
      <c r="C16" s="3">
        <v>400</v>
      </c>
      <c r="D16" s="3">
        <v>1406</v>
      </c>
      <c r="E16" s="3">
        <v>4233</v>
      </c>
      <c r="F16" s="3">
        <v>0.98</v>
      </c>
      <c r="G16" s="5">
        <f>1.73205*C16*D16*F16/1000</f>
        <v>954.62282160000007</v>
      </c>
      <c r="H16" s="7">
        <f t="shared" si="0"/>
        <v>2874.0529188</v>
      </c>
      <c r="I16" s="8">
        <f t="shared" si="1"/>
        <v>0.1830168110542725</v>
      </c>
      <c r="J16" s="6">
        <v>569.5</v>
      </c>
      <c r="L16">
        <v>88</v>
      </c>
    </row>
  </sheetData>
  <mergeCells count="1">
    <mergeCell ref="B2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2010088 - Tanvir Khan</dc:creator>
  <cp:lastModifiedBy>2010088 - Tanvir Khan</cp:lastModifiedBy>
  <dcterms:created xsi:type="dcterms:W3CDTF">2025-07-17T16:13:23Z</dcterms:created>
  <dcterms:modified xsi:type="dcterms:W3CDTF">2025-07-17T22:08:32Z</dcterms:modified>
</cp:coreProperties>
</file>